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יוליה\Desktop\classical-object-counter\"/>
    </mc:Choice>
  </mc:AlternateContent>
  <xr:revisionPtr revIDLastSave="0" documentId="13_ncr:1_{09A3D679-7860-4BD0-ACE2-059A45AA24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otos" sheetId="1" r:id="rId1"/>
    <sheet name="Summary" sheetId="2" r:id="rId2"/>
    <sheet name="How to fil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3" l="1"/>
  <c r="I9" i="3"/>
  <c r="G7" i="2"/>
  <c r="F7" i="2"/>
  <c r="D7" i="2"/>
  <c r="C7" i="2"/>
  <c r="B7" i="2"/>
  <c r="G6" i="2"/>
  <c r="F6" i="2"/>
  <c r="D6" i="2"/>
  <c r="C6" i="2"/>
  <c r="B6" i="2"/>
  <c r="G5" i="2"/>
  <c r="F5" i="2"/>
  <c r="D5" i="2"/>
  <c r="C5" i="2"/>
  <c r="B5" i="2"/>
  <c r="G4" i="2"/>
  <c r="F4" i="2"/>
  <c r="D4" i="2"/>
  <c r="C4" i="2"/>
  <c r="B4" i="2"/>
  <c r="L32" i="1"/>
  <c r="J32" i="1"/>
  <c r="I32" i="1"/>
  <c r="H32" i="1"/>
  <c r="F32" i="1"/>
  <c r="E32" i="1"/>
  <c r="M31" i="1"/>
  <c r="N31" i="1" s="1"/>
  <c r="L31" i="1"/>
  <c r="O30" i="1"/>
  <c r="M30" i="1"/>
  <c r="N30" i="1" s="1"/>
  <c r="L30" i="1"/>
  <c r="M29" i="1"/>
  <c r="N29" i="1" s="1"/>
  <c r="L29" i="1"/>
  <c r="M28" i="1"/>
  <c r="N28" i="1" s="1"/>
  <c r="L28" i="1"/>
  <c r="J6" i="2" s="1"/>
  <c r="M27" i="1"/>
  <c r="N27" i="1" s="1"/>
  <c r="L27" i="1"/>
  <c r="M26" i="1"/>
  <c r="N26" i="1" s="1"/>
  <c r="L26" i="1"/>
  <c r="M25" i="1"/>
  <c r="N25" i="1" s="1"/>
  <c r="L25" i="1"/>
  <c r="M24" i="1"/>
  <c r="E6" i="2" s="1"/>
  <c r="L24" i="1"/>
  <c r="M23" i="1"/>
  <c r="N23" i="1" s="1"/>
  <c r="L23" i="1"/>
  <c r="M22" i="1"/>
  <c r="N22" i="1" s="1"/>
  <c r="L22" i="1"/>
  <c r="M21" i="1"/>
  <c r="N21" i="1" s="1"/>
  <c r="L21" i="1"/>
  <c r="M20" i="1"/>
  <c r="N20" i="1" s="1"/>
  <c r="L20" i="1"/>
  <c r="M19" i="1"/>
  <c r="O19" i="1" s="1"/>
  <c r="L19" i="1"/>
  <c r="M18" i="1"/>
  <c r="N18" i="1" s="1"/>
  <c r="L18" i="1"/>
  <c r="M17" i="1"/>
  <c r="N17" i="1" s="1"/>
  <c r="L17" i="1"/>
  <c r="M16" i="1"/>
  <c r="N16" i="1" s="1"/>
  <c r="L16" i="1"/>
  <c r="M15" i="1"/>
  <c r="N15" i="1" s="1"/>
  <c r="L15" i="1"/>
  <c r="O14" i="1"/>
  <c r="M14" i="1"/>
  <c r="N14" i="1" s="1"/>
  <c r="L14" i="1"/>
  <c r="M13" i="1"/>
  <c r="N13" i="1" s="1"/>
  <c r="L13" i="1"/>
  <c r="M12" i="1"/>
  <c r="N12" i="1" s="1"/>
  <c r="L12" i="1"/>
  <c r="M11" i="1"/>
  <c r="N11" i="1" s="1"/>
  <c r="L11" i="1"/>
  <c r="M10" i="1"/>
  <c r="N10" i="1" s="1"/>
  <c r="L10" i="1"/>
  <c r="M9" i="1"/>
  <c r="N9" i="1" s="1"/>
  <c r="L9" i="1"/>
  <c r="M8" i="1"/>
  <c r="N8" i="1" s="1"/>
  <c r="L8" i="1"/>
  <c r="M7" i="1"/>
  <c r="O7" i="1" s="1"/>
  <c r="L7" i="1"/>
  <c r="M6" i="1"/>
  <c r="N6" i="1" s="1"/>
  <c r="L6" i="1"/>
  <c r="O8" i="1" l="1"/>
  <c r="O24" i="1"/>
  <c r="J4" i="2"/>
  <c r="O28" i="1"/>
  <c r="I6" i="2"/>
  <c r="O10" i="1"/>
  <c r="O18" i="1"/>
  <c r="O12" i="1"/>
  <c r="O6" i="1"/>
  <c r="O22" i="1"/>
  <c r="E4" i="2"/>
  <c r="I4" i="2" s="1"/>
  <c r="O16" i="1"/>
  <c r="J5" i="2"/>
  <c r="O26" i="1"/>
  <c r="H6" i="2"/>
  <c r="O20" i="1"/>
  <c r="J7" i="2"/>
  <c r="E7" i="2"/>
  <c r="E5" i="2"/>
  <c r="I5" i="2" s="1"/>
  <c r="O9" i="1"/>
  <c r="O11" i="1"/>
  <c r="O13" i="1"/>
  <c r="O15" i="1"/>
  <c r="O17" i="1"/>
  <c r="O23" i="1"/>
  <c r="O25" i="1"/>
  <c r="O27" i="1"/>
  <c r="O29" i="1"/>
  <c r="O31" i="1"/>
  <c r="O21" i="1"/>
  <c r="N7" i="1"/>
  <c r="N19" i="1"/>
  <c r="M32" i="1"/>
  <c r="N24" i="1"/>
  <c r="H4" i="2" l="1"/>
  <c r="I7" i="2"/>
  <c r="H7" i="2"/>
  <c r="O32" i="1"/>
  <c r="N32" i="1"/>
  <c r="H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coin study</author>
  </authors>
  <commentList>
    <comment ref="E5" authorId="0" shapeId="0" xr:uid="{00000000-0006-0000-0000-000001000000}">
      <text>
        <r>
          <rPr>
            <sz val="11"/>
            <color theme="1"/>
            <rFont val="Arial"/>
            <family val="2"/>
            <scheme val="minor"/>
          </rPr>
          <t>כמה מטבעות יש באמת בתמונה, לפי התמונה המקורית (עמודה B).</t>
        </r>
      </text>
    </comment>
    <comment ref="F5" authorId="0" shapeId="0" xr:uid="{00000000-0006-0000-0000-000002000000}">
      <text>
        <r>
          <rPr>
            <sz val="11"/>
            <color theme="1"/>
            <rFont val="Arial"/>
            <family val="2"/>
            <scheme val="minor"/>
          </rPr>
          <t>כפתורים או כל עצם עגול אחר שאינו מטבע ונמצא על המשטח.</t>
        </r>
      </text>
    </comment>
    <comment ref="I5" authorId="0" shapeId="0" xr:uid="{00000000-0006-0000-0000-000003000000}">
      <text>
        <r>
          <rPr>
            <sz val="11"/>
            <color theme="1"/>
            <rFont val="Arial"/>
            <family val="2"/>
            <scheme val="minor"/>
          </rPr>
          <t>עיגול ירוק על משהו שאינו מטבע: קפל, כפתור, צל, או מטבע שנספר פעמיים.</t>
        </r>
      </text>
    </comment>
    <comment ref="J5" authorId="0" shapeId="0" xr:uid="{00000000-0006-0000-0000-000004000000}">
      <text>
        <r>
          <rPr>
            <sz val="11"/>
            <color theme="1"/>
            <rFont val="Arial"/>
            <family val="2"/>
            <scheme val="minor"/>
          </rPr>
          <t>מטבע אמיתי שאין עליו עיגול ירוק בתמונת התוצאה.</t>
        </r>
      </text>
    </comment>
    <comment ref="K5" authorId="0" shapeId="0" xr:uid="{00000000-0006-0000-0000-000005000000}">
      <text>
        <r>
          <rPr>
            <sz val="11"/>
            <color theme="1"/>
            <rFont val="Arial"/>
            <family val="2"/>
            <scheme val="minor"/>
          </rPr>
          <t>למשל: קפל ×2, כפתור ×1, כפול ×1</t>
        </r>
      </text>
    </comment>
    <comment ref="M5" authorId="0" shapeId="0" xr:uid="{00000000-0006-0000-0000-000006000000}">
      <text>
        <r>
          <rPr>
            <sz val="11"/>
            <color theme="1"/>
            <rFont val="Arial"/>
            <family val="2"/>
            <scheme val="minor"/>
          </rPr>
          <t>TP = מטבעות שהמכונה ספרה − זיהויים שגויים</t>
        </r>
      </text>
    </comment>
    <comment ref="N5" authorId="0" shapeId="0" xr:uid="{00000000-0006-0000-0000-000007000000}">
      <text>
        <r>
          <rPr>
            <sz val="11"/>
            <color theme="1"/>
            <rFont val="Arial"/>
            <family val="2"/>
            <scheme val="minor"/>
          </rPr>
          <t>Precision = TP / מטבעות שהמכונה ספרה: כמה מהסימונים נכונים</t>
        </r>
      </text>
    </comment>
    <comment ref="O5" authorId="0" shapeId="0" xr:uid="{00000000-0006-0000-0000-000008000000}">
      <text>
        <r>
          <rPr>
            <sz val="11"/>
            <color theme="1"/>
            <rFont val="Arial"/>
            <family val="2"/>
            <scheme val="minor"/>
          </rPr>
          <t>Recall = TP / מטבעות אמיתיים: כמה מהמטבעות נמצאו</t>
        </r>
      </text>
    </comment>
  </commentList>
</comments>
</file>

<file path=xl/sharedStrings.xml><?xml version="1.0" encoding="utf-8"?>
<sst xmlns="http://schemas.openxmlformats.org/spreadsheetml/2006/main" count="178" uniqueCount="115">
  <si>
    <t>טבלת מחקר: מה אני ספרתי מול מה המכונה זיהתה</t>
  </si>
  <si>
    <t>צהוב = את/ה ממלא/ת (ספירה אמיתית מהתמונה המקורית).   אפור = החלק של המכונה (ימולא מהפלט של התוכנית).   כחול = נוסחאות, לא לגעת.   דוגמה למילוי בגיליון 'How to fill'.</t>
  </si>
  <si>
    <t>פרטי התמונה</t>
  </si>
  <si>
    <t>אני (ספירה אמיתית)</t>
  </si>
  <si>
    <t>המכונה</t>
  </si>
  <si>
    <t>השוואה (נוסחאות)</t>
  </si>
  <si>
    <t>מזהה</t>
  </si>
  <si>
    <t>קובץ תמונה</t>
  </si>
  <si>
    <t>קטגוריה</t>
  </si>
  <si>
    <t>תמונת תוצאה</t>
  </si>
  <si>
    <t>מטבעות אמיתיים בתמונה</t>
  </si>
  <si>
    <t>עצמים עגולים שאינם מטבע בתמונה</t>
  </si>
  <si>
    <t>הערות</t>
  </si>
  <si>
    <t>מטבעות שהמכונה ספרה</t>
  </si>
  <si>
    <t>זיהוי שגוי: לא-מטבע שנספר כמטבע (FP)</t>
  </si>
  <si>
    <t>מטבעות שהמכונה פספסה (FN)</t>
  </si>
  <si>
    <t>סוג הזיהויים השגויים</t>
  </si>
  <si>
    <t>טעות בספירה (מכונה − אמת)</t>
  </si>
  <si>
    <t>זיהויים נכונים (TP)</t>
  </si>
  <si>
    <t>Precision</t>
  </si>
  <si>
    <t>Recall</t>
  </si>
  <si>
    <t>P01</t>
  </si>
  <si>
    <t>WhatsApp Image 2026-09-01 at 12.48.25 (1).jpeg</t>
  </si>
  <si>
    <t>clean</t>
  </si>
  <si>
    <t>פתח</t>
  </si>
  <si>
    <t>P02</t>
  </si>
  <si>
    <t>WhatsApp Image 2026-09-01 at 12.48.26.jpeg</t>
  </si>
  <si>
    <t>קפל ×1</t>
  </si>
  <si>
    <t>P03</t>
  </si>
  <si>
    <t>WhatsApp Image 2026-09-01 at 12.48.26 (1).jpeg</t>
  </si>
  <si>
    <t>P04</t>
  </si>
  <si>
    <t>WhatsApp Image 2026-09-01 at 12.48.26 (2).jpeg</t>
  </si>
  <si>
    <t>P05</t>
  </si>
  <si>
    <t>WhatsApp Image 2026-09-01 at 12.48.26 (3).jpeg</t>
  </si>
  <si>
    <t>P06</t>
  </si>
  <si>
    <t>WhatsApp Image 2026-09-01 at 12.48.26 (4).jpeg</t>
  </si>
  <si>
    <t>P07</t>
  </si>
  <si>
    <t>WhatsApp Image 2026-09-01 at 12.48.26 (5).jpeg</t>
  </si>
  <si>
    <t>P08</t>
  </si>
  <si>
    <t>WhatsApp Image 2026-09-01 at 12.48.26 (7).jpeg</t>
  </si>
  <si>
    <t>P09</t>
  </si>
  <si>
    <t>WhatsApp Image 2026-09-01 at 12.48.26 (10).jpeg</t>
  </si>
  <si>
    <t>noisy</t>
  </si>
  <si>
    <t>P10</t>
  </si>
  <si>
    <t>WhatsApp Image 2026-09-01 at 12.48.26 (11).jpeg</t>
  </si>
  <si>
    <t>רקע/קפל ×2</t>
  </si>
  <si>
    <t>P11</t>
  </si>
  <si>
    <t>WhatsApp Image 2026-09-01 at 12.48.26 (12).jpeg</t>
  </si>
  <si>
    <t>P12</t>
  </si>
  <si>
    <t>WhatsApp Image 2026-09-01 at 12.48.26 (13).jpeg</t>
  </si>
  <si>
    <t>רקע ×1</t>
  </si>
  <si>
    <t>P13</t>
  </si>
  <si>
    <t>WhatsApp Image 2026-09-01 at 12.48.26 (14).jpeg</t>
  </si>
  <si>
    <t>רקע/קפל ×3</t>
  </si>
  <si>
    <t>P14</t>
  </si>
  <si>
    <t>WhatsApp Image 2026-09-01 at 12.48.26 (15).jpeg</t>
  </si>
  <si>
    <t>טשטוש: מטבע כפול ×7, רקע ×5</t>
  </si>
  <si>
    <t>P15</t>
  </si>
  <si>
    <t>WhatsApp Image 2026-09-01 at 12.48.26 (16).jpeg</t>
  </si>
  <si>
    <t>P16</t>
  </si>
  <si>
    <t>WhatsApp Image 2026-09-01 at 12.48.26 (17).jpeg</t>
  </si>
  <si>
    <t>P17</t>
  </si>
  <si>
    <t>WhatsApp Image 2026-09-01 at 12.48.26 (8).jpeg</t>
  </si>
  <si>
    <t>טשטוש: מטבע כפול ×1</t>
  </si>
  <si>
    <t>P18</t>
  </si>
  <si>
    <t>WhatsApp Image 2026-09-01 at 12.48.26 (9).jpeg</t>
  </si>
  <si>
    <t>קפל ×2</t>
  </si>
  <si>
    <t>P19</t>
  </si>
  <si>
    <t>WhatsApp Image 2026-09-01 at 12.48.25.jpeg</t>
  </si>
  <si>
    <t>damaged</t>
  </si>
  <si>
    <t>P20</t>
  </si>
  <si>
    <t>WhatsApp Image 2026-09-01 at 12.48.26 (18).jpeg</t>
  </si>
  <si>
    <t>קצה המשטח ×2, כפתור אפור ×1</t>
  </si>
  <si>
    <t>P21</t>
  </si>
  <si>
    <t>WhatsApp Image 2026-09-01 at 12.48.26 (19).jpeg</t>
  </si>
  <si>
    <t>רקע ×1, קצה המשטח ×1</t>
  </si>
  <si>
    <t>P22</t>
  </si>
  <si>
    <t>WhatsApp Image 2026-09-01 at 12.48.26 (20).jpeg</t>
  </si>
  <si>
    <t>כפתור אפור ×1</t>
  </si>
  <si>
    <t>P23</t>
  </si>
  <si>
    <t>WhatsApp Image 2026-09-01 at 12.48.26 (21).jpeg</t>
  </si>
  <si>
    <t>קצה המשטח ×1</t>
  </si>
  <si>
    <t>P24</t>
  </si>
  <si>
    <t>WhatsApp Image 2026-09-01 at 12.48.26 (22).jpeg</t>
  </si>
  <si>
    <t>קצה המשטח ×2, קפל ×1</t>
  </si>
  <si>
    <t>P25</t>
  </si>
  <si>
    <t>WhatsApp Image 2026-09-01 at 12.48.26 (23).jpeg</t>
  </si>
  <si>
    <t>קצה המשטח ×1, קפל ×1</t>
  </si>
  <si>
    <t>P26</t>
  </si>
  <si>
    <t>WhatsApp Image 2026-09-01 at 12.48.26 (6).jpeg</t>
  </si>
  <si>
    <t>סה"כ</t>
  </si>
  <si>
    <t>סיכום לפי קטגוריה (מתעדכן אוטומטית מגיליון Photos)</t>
  </si>
  <si>
    <t>תמונות</t>
  </si>
  <si>
    <t>מטבעות אמיתיים</t>
  </si>
  <si>
    <t>המכונה ספרה</t>
  </si>
  <si>
    <t>זיהויים שגויים (FP)</t>
  </si>
  <si>
    <t>פספוסים (FN)</t>
  </si>
  <si>
    <t>תמונות עם ספירה מדויקת</t>
  </si>
  <si>
    <t>הכל</t>
  </si>
  <si>
    <t>Precision: מתוך כל הסימונים של המכונה, כמה היו מטבעות אמיתיים.   Recall: מתוך כל המטבעות האמיתיים, כמה המכונה מצאה.</t>
  </si>
  <si>
    <t>איך ממלאים</t>
  </si>
  <si>
    <t>1. בגיליון Photos, לכל שורה: לוחצים על שם הקובץ בעמודה B כדי לפתוח את התמונה המקורית.</t>
  </si>
  <si>
    <t>2. ממלאים בעמודות הצהובות: כמה מטבעות יש באמת, וכמה עצמים עגולים שאינם מטבע (כפתורים וכו').</t>
  </si>
  <si>
    <t>3. את העמודות האפורות (המכונה) אני ממלא: כמה מטבעות ספרה, ובדיקה של כל עיגול בתמונת התוצאה.</t>
  </si>
  <si>
    <t>4. העמודות הכחולות וגיליון Summary מחושבים אוטומטית.</t>
  </si>
  <si>
    <t>דוגמה לשורה ממולאת (לא חלק מהנתונים)</t>
  </si>
  <si>
    <t>עצמים שאינם מטבע</t>
  </si>
  <si>
    <t>FP</t>
  </si>
  <si>
    <t>FN</t>
  </si>
  <si>
    <t>סוג השגיאות</t>
  </si>
  <si>
    <t>טעות</t>
  </si>
  <si>
    <t>TP</t>
  </si>
  <si>
    <t>4 כפתורים בין המטבעות</t>
  </si>
  <si>
    <t>כפתור ×1, קפל ×2, קצה ×1</t>
  </si>
  <si>
    <t>המספרים בדוגמה להמחשה בלבד.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</si>
</sst>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;\-0;0"/>
    <numFmt numFmtId="165" formatCode="0.0%"/>
  </numFmts>
  <fonts count="12" x14ac:knownFonts="1">
    <font>
      <sz val="11"/>
      <color theme="1"/>
      <name val="Arial"/>
      <family val="2"/>
      <scheme val="minor"/>
    </font>
    <font>
      <b/>
      <sz val="14"/>
      <color rgb="FF0B3C74"/>
      <name val="Arial"/>
    </font>
    <font>
      <sz val="9"/>
      <color rgb="FF5F6B7A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b/>
      <sz val="10"/>
      <color rgb="FF0B3C74"/>
      <name val="Arial"/>
    </font>
    <font>
      <sz val="10"/>
      <color rgb="FF1565C0"/>
      <name val="Arial"/>
    </font>
    <font>
      <sz val="10"/>
      <color rgb="FF000000"/>
      <name val="Arial"/>
    </font>
    <font>
      <sz val="10"/>
      <color rgb="FF0000FF"/>
      <name val="Arial"/>
    </font>
    <font>
      <b/>
      <sz val="10"/>
      <color rgb="FFFFFFFF"/>
      <name val="Arial"/>
    </font>
    <font>
      <b/>
      <sz val="11"/>
      <color rgb="FF0B3C74"/>
      <name val="Arial"/>
    </font>
    <font>
      <i/>
      <sz val="10"/>
      <color rgb="FF5F6B7A"/>
      <name val="Arial"/>
    </font>
  </fonts>
  <fills count="10">
    <fill>
      <patternFill patternType="none"/>
    </fill>
    <fill>
      <patternFill patternType="gray125"/>
    </fill>
    <fill>
      <patternFill patternType="solid">
        <fgColor rgb="FF0B3C74"/>
      </patternFill>
    </fill>
    <fill>
      <patternFill patternType="solid">
        <fgColor rgb="FFE0B400"/>
      </patternFill>
    </fill>
    <fill>
      <patternFill patternType="solid">
        <fgColor rgb="FF5F6B7A"/>
      </patternFill>
    </fill>
    <fill>
      <patternFill patternType="solid">
        <fgColor rgb="FF1565C0"/>
      </patternFill>
    </fill>
    <fill>
      <patternFill patternType="solid">
        <fgColor rgb="FFD6E4F5"/>
      </patternFill>
    </fill>
    <fill>
      <patternFill patternType="solid">
        <fgColor rgb="FFFFF4C2"/>
      </patternFill>
    </fill>
    <fill>
      <patternFill patternType="solid">
        <fgColor rgb="FFE7EAEE"/>
      </patternFill>
    </fill>
    <fill>
      <patternFill patternType="solid">
        <fgColor rgb="FFEAF2FC"/>
      </patternFill>
    </fill>
  </fills>
  <borders count="3">
    <border>
      <left/>
      <right/>
      <top/>
      <bottom/>
      <diagonal/>
    </border>
    <border>
      <left style="thin">
        <color rgb="FFC9D2DE"/>
      </left>
      <right style="thin">
        <color rgb="FFC9D2DE"/>
      </right>
      <top style="thin">
        <color rgb="FFC9D2DE"/>
      </top>
      <bottom style="thin">
        <color rgb="FFC9D2DE"/>
      </bottom>
      <diagonal/>
    </border>
    <border>
      <left style="thin">
        <color rgb="FFC9D2DE"/>
      </left>
      <right style="thin">
        <color rgb="FFC9D2DE"/>
      </right>
      <top style="medium">
        <color rgb="FF0B3C74"/>
      </top>
      <bottom style="thin">
        <color rgb="FFC9D2DE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/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/>
    <xf numFmtId="164" fontId="7" fillId="9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5" fontId="4" fillId="6" borderId="2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5" fontId="4" fillId="6" borderId="1" xfId="0" applyNumberFormat="1" applyFont="1" applyFill="1" applyBorder="1" applyAlignment="1">
      <alignment horizontal="center"/>
    </xf>
    <xf numFmtId="0" fontId="10" fillId="0" borderId="0" xfId="0" applyFont="1"/>
    <xf numFmtId="0" fontId="7" fillId="0" borderId="0" xfId="0" applyFont="1"/>
    <xf numFmtId="0" fontId="11" fillId="0" borderId="1" xfId="0" applyFont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data/WhatsApp%20Image%202026-09-01%20at%2012.48.26%20(5).jpeg" TargetMode="External"/><Relationship Id="rId18" Type="http://schemas.openxmlformats.org/officeDocument/2006/relationships/hyperlink" Target="results/WhatsApp%20Image%202026-09-01%20at%2012.48.26%20(10).jpg" TargetMode="External"/><Relationship Id="rId26" Type="http://schemas.openxmlformats.org/officeDocument/2006/relationships/hyperlink" Target="results/WhatsApp%20Image%202026-09-01%20at%2012.48.26%20(14).jpg" TargetMode="External"/><Relationship Id="rId39" Type="http://schemas.openxmlformats.org/officeDocument/2006/relationships/hyperlink" Target="data/WhatsApp%20Image%202026-09-01%20at%2012.48.26%20(18).jpeg" TargetMode="External"/><Relationship Id="rId21" Type="http://schemas.openxmlformats.org/officeDocument/2006/relationships/hyperlink" Target="data/WhatsApp%20Image%202026-09-01%20at%2012.48.26%20(12).jpeg" TargetMode="External"/><Relationship Id="rId34" Type="http://schemas.openxmlformats.org/officeDocument/2006/relationships/hyperlink" Target="results/WhatsApp%20Image%202026-09-01%20at%2012.48.26%20(8).jpg" TargetMode="External"/><Relationship Id="rId42" Type="http://schemas.openxmlformats.org/officeDocument/2006/relationships/hyperlink" Target="results/WhatsApp%20Image%202026-09-01%20at%2012.48.26%20(19).jpg" TargetMode="External"/><Relationship Id="rId47" Type="http://schemas.openxmlformats.org/officeDocument/2006/relationships/hyperlink" Target="data/WhatsApp%20Image%202026-09-01%20at%2012.48.26%20(22).jpeg" TargetMode="External"/><Relationship Id="rId50" Type="http://schemas.openxmlformats.org/officeDocument/2006/relationships/hyperlink" Target="results/WhatsApp%20Image%202026-09-01%20at%2012.48.26%20(23).jpg" TargetMode="External"/><Relationship Id="rId7" Type="http://schemas.openxmlformats.org/officeDocument/2006/relationships/hyperlink" Target="data/WhatsApp%20Image%202026-09-01%20at%2012.48.26%20(2).jpeg" TargetMode="External"/><Relationship Id="rId2" Type="http://schemas.openxmlformats.org/officeDocument/2006/relationships/hyperlink" Target="results/WhatsApp%20Image%202026-09-01%20at%2012.48.25%20(1).jpg" TargetMode="External"/><Relationship Id="rId16" Type="http://schemas.openxmlformats.org/officeDocument/2006/relationships/hyperlink" Target="results/WhatsApp%20Image%202026-09-01%20at%2012.48.26%20(7).jpg" TargetMode="External"/><Relationship Id="rId29" Type="http://schemas.openxmlformats.org/officeDocument/2006/relationships/hyperlink" Target="data/WhatsApp%20Image%202026-09-01%20at%2012.48.26%20(16).jpeg" TargetMode="External"/><Relationship Id="rId11" Type="http://schemas.openxmlformats.org/officeDocument/2006/relationships/hyperlink" Target="data/WhatsApp%20Image%202026-09-01%20at%2012.48.26%20(4).jpeg" TargetMode="External"/><Relationship Id="rId24" Type="http://schemas.openxmlformats.org/officeDocument/2006/relationships/hyperlink" Target="results/WhatsApp%20Image%202026-09-01%20at%2012.48.26%20(13).jpg" TargetMode="External"/><Relationship Id="rId32" Type="http://schemas.openxmlformats.org/officeDocument/2006/relationships/hyperlink" Target="results/WhatsApp%20Image%202026-09-01%20at%2012.48.26%20(17).jpg" TargetMode="External"/><Relationship Id="rId37" Type="http://schemas.openxmlformats.org/officeDocument/2006/relationships/hyperlink" Target="data/WhatsApp%20Image%202026-09-01%20at%2012.48.25.jpeg" TargetMode="External"/><Relationship Id="rId40" Type="http://schemas.openxmlformats.org/officeDocument/2006/relationships/hyperlink" Target="results/WhatsApp%20Image%202026-09-01%20at%2012.48.26%20(18).jpg" TargetMode="External"/><Relationship Id="rId45" Type="http://schemas.openxmlformats.org/officeDocument/2006/relationships/hyperlink" Target="data/WhatsApp%20Image%202026-09-01%20at%2012.48.26%20(21).jpeg" TargetMode="External"/><Relationship Id="rId53" Type="http://schemas.openxmlformats.org/officeDocument/2006/relationships/vmlDrawing" Target="../drawings/vmlDrawing1.vml"/><Relationship Id="rId5" Type="http://schemas.openxmlformats.org/officeDocument/2006/relationships/hyperlink" Target="data/WhatsApp%20Image%202026-09-01%20at%2012.48.26%20(1).jpeg" TargetMode="External"/><Relationship Id="rId10" Type="http://schemas.openxmlformats.org/officeDocument/2006/relationships/hyperlink" Target="results/WhatsApp%20Image%202026-09-01%20at%2012.48.26%20(3).jpg" TargetMode="External"/><Relationship Id="rId19" Type="http://schemas.openxmlformats.org/officeDocument/2006/relationships/hyperlink" Target="data/WhatsApp%20Image%202026-09-01%20at%2012.48.26%20(11).jpeg" TargetMode="External"/><Relationship Id="rId31" Type="http://schemas.openxmlformats.org/officeDocument/2006/relationships/hyperlink" Target="data/WhatsApp%20Image%202026-09-01%20at%2012.48.26%20(17).jpeg" TargetMode="External"/><Relationship Id="rId44" Type="http://schemas.openxmlformats.org/officeDocument/2006/relationships/hyperlink" Target="results/WhatsApp%20Image%202026-09-01%20at%2012.48.26%20(20).jpg" TargetMode="External"/><Relationship Id="rId52" Type="http://schemas.openxmlformats.org/officeDocument/2006/relationships/hyperlink" Target="results/WhatsApp%20Image%202026-09-01%20at%2012.48.26%20(6).jpg" TargetMode="External"/><Relationship Id="rId4" Type="http://schemas.openxmlformats.org/officeDocument/2006/relationships/hyperlink" Target="results/WhatsApp%20Image%202026-09-01%20at%2012.48.26.jpg" TargetMode="External"/><Relationship Id="rId9" Type="http://schemas.openxmlformats.org/officeDocument/2006/relationships/hyperlink" Target="data/WhatsApp%20Image%202026-09-01%20at%2012.48.26%20(3).jpeg" TargetMode="External"/><Relationship Id="rId14" Type="http://schemas.openxmlformats.org/officeDocument/2006/relationships/hyperlink" Target="results/WhatsApp%20Image%202026-09-01%20at%2012.48.26%20(5).jpg" TargetMode="External"/><Relationship Id="rId22" Type="http://schemas.openxmlformats.org/officeDocument/2006/relationships/hyperlink" Target="results/WhatsApp%20Image%202026-09-01%20at%2012.48.26%20(12).jpg" TargetMode="External"/><Relationship Id="rId27" Type="http://schemas.openxmlformats.org/officeDocument/2006/relationships/hyperlink" Target="data/WhatsApp%20Image%202026-09-01%20at%2012.48.26%20(15).jpeg" TargetMode="External"/><Relationship Id="rId30" Type="http://schemas.openxmlformats.org/officeDocument/2006/relationships/hyperlink" Target="results/WhatsApp%20Image%202026-09-01%20at%2012.48.26%20(16).jpg" TargetMode="External"/><Relationship Id="rId35" Type="http://schemas.openxmlformats.org/officeDocument/2006/relationships/hyperlink" Target="data/WhatsApp%20Image%202026-09-01%20at%2012.48.26%20(9).jpeg" TargetMode="External"/><Relationship Id="rId43" Type="http://schemas.openxmlformats.org/officeDocument/2006/relationships/hyperlink" Target="data/WhatsApp%20Image%202026-09-01%20at%2012.48.26%20(20).jpeg" TargetMode="External"/><Relationship Id="rId48" Type="http://schemas.openxmlformats.org/officeDocument/2006/relationships/hyperlink" Target="results/WhatsApp%20Image%202026-09-01%20at%2012.48.26%20(22).jpg" TargetMode="External"/><Relationship Id="rId8" Type="http://schemas.openxmlformats.org/officeDocument/2006/relationships/hyperlink" Target="results/WhatsApp%20Image%202026-09-01%20at%2012.48.26%20(2).jpg" TargetMode="External"/><Relationship Id="rId51" Type="http://schemas.openxmlformats.org/officeDocument/2006/relationships/hyperlink" Target="data/WhatsApp%20Image%202026-09-01%20at%2012.48.26%20(6).jpeg" TargetMode="External"/><Relationship Id="rId3" Type="http://schemas.openxmlformats.org/officeDocument/2006/relationships/hyperlink" Target="data/WhatsApp%20Image%202026-09-01%20at%2012.48.26.jpeg" TargetMode="External"/><Relationship Id="rId12" Type="http://schemas.openxmlformats.org/officeDocument/2006/relationships/hyperlink" Target="results/WhatsApp%20Image%202026-09-01%20at%2012.48.26%20(4).jpg" TargetMode="External"/><Relationship Id="rId17" Type="http://schemas.openxmlformats.org/officeDocument/2006/relationships/hyperlink" Target="data/WhatsApp%20Image%202026-09-01%20at%2012.48.26%20(10).jpeg" TargetMode="External"/><Relationship Id="rId25" Type="http://schemas.openxmlformats.org/officeDocument/2006/relationships/hyperlink" Target="data/WhatsApp%20Image%202026-09-01%20at%2012.48.26%20(14).jpeg" TargetMode="External"/><Relationship Id="rId33" Type="http://schemas.openxmlformats.org/officeDocument/2006/relationships/hyperlink" Target="data/WhatsApp%20Image%202026-09-01%20at%2012.48.26%20(8).jpeg" TargetMode="External"/><Relationship Id="rId38" Type="http://schemas.openxmlformats.org/officeDocument/2006/relationships/hyperlink" Target="results/WhatsApp%20Image%202026-09-01%20at%2012.48.25.jpg" TargetMode="External"/><Relationship Id="rId46" Type="http://schemas.openxmlformats.org/officeDocument/2006/relationships/hyperlink" Target="results/WhatsApp%20Image%202026-09-01%20at%2012.48.26%20(21).jpg" TargetMode="External"/><Relationship Id="rId20" Type="http://schemas.openxmlformats.org/officeDocument/2006/relationships/hyperlink" Target="results/WhatsApp%20Image%202026-09-01%20at%2012.48.26%20(11).jpg" TargetMode="External"/><Relationship Id="rId41" Type="http://schemas.openxmlformats.org/officeDocument/2006/relationships/hyperlink" Target="data/WhatsApp%20Image%202026-09-01%20at%2012.48.26%20(19).jpeg" TargetMode="External"/><Relationship Id="rId54" Type="http://schemas.openxmlformats.org/officeDocument/2006/relationships/comments" Target="../comments1.xml"/><Relationship Id="rId1" Type="http://schemas.openxmlformats.org/officeDocument/2006/relationships/hyperlink" Target="data/WhatsApp%20Image%202026-09-01%20at%2012.48.25%20(1).jpeg" TargetMode="External"/><Relationship Id="rId6" Type="http://schemas.openxmlformats.org/officeDocument/2006/relationships/hyperlink" Target="results/WhatsApp%20Image%202026-09-01%20at%2012.48.26%20(1).jpg" TargetMode="External"/><Relationship Id="rId15" Type="http://schemas.openxmlformats.org/officeDocument/2006/relationships/hyperlink" Target="data/WhatsApp%20Image%202026-09-01%20at%2012.48.26%20(7).jpeg" TargetMode="External"/><Relationship Id="rId23" Type="http://schemas.openxmlformats.org/officeDocument/2006/relationships/hyperlink" Target="data/WhatsApp%20Image%202026-09-01%20at%2012.48.26%20(13).jpeg" TargetMode="External"/><Relationship Id="rId28" Type="http://schemas.openxmlformats.org/officeDocument/2006/relationships/hyperlink" Target="results/WhatsApp%20Image%202026-09-01%20at%2012.48.26%20(15).jpg" TargetMode="External"/><Relationship Id="rId36" Type="http://schemas.openxmlformats.org/officeDocument/2006/relationships/hyperlink" Target="results/WhatsApp%20Image%202026-09-01%20at%2012.48.26%20(9).jpg" TargetMode="External"/><Relationship Id="rId49" Type="http://schemas.openxmlformats.org/officeDocument/2006/relationships/hyperlink" Target="data/WhatsApp%20Image%202026-09-01%20at%2012.48.26%20(23)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rightToLeft="1" tabSelected="1" workbookViewId="0">
      <pane xSplit="4" ySplit="5" topLeftCell="E6" activePane="bottomRight" state="frozen"/>
      <selection pane="topRight"/>
      <selection pane="bottomLeft"/>
      <selection pane="bottomRight" activeCell="F36" sqref="F36"/>
    </sheetView>
  </sheetViews>
  <sheetFormatPr defaultRowHeight="13.8" x14ac:dyDescent="0.25"/>
  <cols>
    <col min="1" max="1" width="7" customWidth="1"/>
    <col min="2" max="2" width="34" customWidth="1"/>
    <col min="3" max="3" width="10" customWidth="1"/>
    <col min="4" max="4" width="14" customWidth="1"/>
    <col min="5" max="5" width="13" customWidth="1"/>
    <col min="6" max="6" width="15" customWidth="1"/>
    <col min="7" max="7" width="24" customWidth="1"/>
    <col min="8" max="8" width="13" customWidth="1"/>
    <col min="9" max="9" width="17" customWidth="1"/>
    <col min="10" max="10" width="14" customWidth="1"/>
    <col min="11" max="11" width="22" customWidth="1"/>
    <col min="12" max="12" width="13" customWidth="1"/>
    <col min="13" max="15" width="11" customWidth="1"/>
  </cols>
  <sheetData>
    <row r="1" spans="1:15" ht="17.399999999999999" customHeight="1" x14ac:dyDescent="0.3">
      <c r="A1" s="1" t="s">
        <v>0</v>
      </c>
    </row>
    <row r="2" spans="1:15" x14ac:dyDescent="0.25">
      <c r="A2" s="2" t="s">
        <v>1</v>
      </c>
    </row>
    <row r="4" spans="1:15" x14ac:dyDescent="0.25">
      <c r="A4" s="31" t="s">
        <v>2</v>
      </c>
      <c r="B4" s="30"/>
      <c r="C4" s="30"/>
      <c r="D4" s="30"/>
      <c r="E4" s="32" t="s">
        <v>3</v>
      </c>
      <c r="F4" s="30"/>
      <c r="G4" s="30"/>
      <c r="H4" s="33" t="s">
        <v>4</v>
      </c>
      <c r="I4" s="30"/>
      <c r="J4" s="30"/>
      <c r="K4" s="30"/>
      <c r="L4" s="29" t="s">
        <v>5</v>
      </c>
      <c r="M4" s="30"/>
      <c r="N4" s="30"/>
      <c r="O4" s="30"/>
    </row>
    <row r="5" spans="1:15" ht="48" customHeight="1" x14ac:dyDescent="0.25">
      <c r="A5" s="3" t="s">
        <v>6</v>
      </c>
      <c r="B5" s="3" t="s">
        <v>7</v>
      </c>
      <c r="C5" s="3" t="s">
        <v>8</v>
      </c>
      <c r="D5" s="3" t="s">
        <v>9</v>
      </c>
      <c r="E5" s="4" t="s">
        <v>10</v>
      </c>
      <c r="F5" s="4" t="s">
        <v>11</v>
      </c>
      <c r="G5" s="4" t="s">
        <v>12</v>
      </c>
      <c r="H5" s="5" t="s">
        <v>13</v>
      </c>
      <c r="I5" s="5" t="s">
        <v>14</v>
      </c>
      <c r="J5" s="5" t="s">
        <v>15</v>
      </c>
      <c r="K5" s="5" t="s">
        <v>16</v>
      </c>
      <c r="L5" s="6" t="s">
        <v>17</v>
      </c>
      <c r="M5" s="6" t="s">
        <v>18</v>
      </c>
      <c r="N5" s="6" t="s">
        <v>19</v>
      </c>
      <c r="O5" s="6" t="s">
        <v>20</v>
      </c>
    </row>
    <row r="6" spans="1:15" x14ac:dyDescent="0.25">
      <c r="A6" s="7" t="s">
        <v>21</v>
      </c>
      <c r="B6" s="8" t="s">
        <v>22</v>
      </c>
      <c r="C6" s="9" t="s">
        <v>23</v>
      </c>
      <c r="D6" s="10" t="s">
        <v>24</v>
      </c>
      <c r="E6" s="11">
        <v>14</v>
      </c>
      <c r="F6" s="11">
        <v>0</v>
      </c>
      <c r="G6" s="12"/>
      <c r="H6" s="13">
        <v>14</v>
      </c>
      <c r="I6" s="13">
        <v>0</v>
      </c>
      <c r="J6" s="13">
        <v>0</v>
      </c>
      <c r="K6" s="14"/>
      <c r="L6" s="15">
        <f t="shared" ref="L6:L32" si="0">IF(OR(E6="",H6=""),"",H6-E6)</f>
        <v>0</v>
      </c>
      <c r="M6" s="16">
        <f t="shared" ref="M6:M31" si="1">IF(OR(H6="",I6=""),"",H6-I6)</f>
        <v>14</v>
      </c>
      <c r="N6" s="17">
        <f t="shared" ref="N6:N32" si="2">IF(OR(M6="",H6=""),"",IFERROR(M6/H6,""))</f>
        <v>1</v>
      </c>
      <c r="O6" s="17">
        <f t="shared" ref="O6:O32" si="3">IF(OR(M6="",E6=""),"",IFERROR(M6/E6,""))</f>
        <v>1</v>
      </c>
    </row>
    <row r="7" spans="1:15" x14ac:dyDescent="0.25">
      <c r="A7" s="7" t="s">
        <v>25</v>
      </c>
      <c r="B7" s="8" t="s">
        <v>26</v>
      </c>
      <c r="C7" s="9" t="s">
        <v>23</v>
      </c>
      <c r="D7" s="10" t="s">
        <v>24</v>
      </c>
      <c r="E7" s="11">
        <v>9</v>
      </c>
      <c r="F7" s="11">
        <v>0</v>
      </c>
      <c r="G7" s="12"/>
      <c r="H7" s="13">
        <v>10</v>
      </c>
      <c r="I7" s="13">
        <v>1</v>
      </c>
      <c r="J7" s="13">
        <v>0</v>
      </c>
      <c r="K7" s="14" t="s">
        <v>27</v>
      </c>
      <c r="L7" s="15">
        <f t="shared" si="0"/>
        <v>1</v>
      </c>
      <c r="M7" s="16">
        <f t="shared" si="1"/>
        <v>9</v>
      </c>
      <c r="N7" s="17">
        <f t="shared" si="2"/>
        <v>0.9</v>
      </c>
      <c r="O7" s="17">
        <f t="shared" si="3"/>
        <v>1</v>
      </c>
    </row>
    <row r="8" spans="1:15" x14ac:dyDescent="0.25">
      <c r="A8" s="7" t="s">
        <v>28</v>
      </c>
      <c r="B8" s="8" t="s">
        <v>29</v>
      </c>
      <c r="C8" s="9" t="s">
        <v>23</v>
      </c>
      <c r="D8" s="10" t="s">
        <v>24</v>
      </c>
      <c r="E8" s="11">
        <v>7</v>
      </c>
      <c r="F8" s="11">
        <v>0</v>
      </c>
      <c r="G8" s="12"/>
      <c r="H8" s="13">
        <v>7</v>
      </c>
      <c r="I8" s="13">
        <v>0</v>
      </c>
      <c r="J8" s="13">
        <v>0</v>
      </c>
      <c r="K8" s="14"/>
      <c r="L8" s="15">
        <f t="shared" si="0"/>
        <v>0</v>
      </c>
      <c r="M8" s="16">
        <f t="shared" si="1"/>
        <v>7</v>
      </c>
      <c r="N8" s="17">
        <f t="shared" si="2"/>
        <v>1</v>
      </c>
      <c r="O8" s="17">
        <f t="shared" si="3"/>
        <v>1</v>
      </c>
    </row>
    <row r="9" spans="1:15" x14ac:dyDescent="0.25">
      <c r="A9" s="7" t="s">
        <v>30</v>
      </c>
      <c r="B9" s="8" t="s">
        <v>31</v>
      </c>
      <c r="C9" s="9" t="s">
        <v>23</v>
      </c>
      <c r="D9" s="10" t="s">
        <v>24</v>
      </c>
      <c r="E9" s="11">
        <v>14</v>
      </c>
      <c r="F9" s="11">
        <v>0</v>
      </c>
      <c r="G9" s="12"/>
      <c r="H9" s="13">
        <v>14</v>
      </c>
      <c r="I9" s="13">
        <v>0</v>
      </c>
      <c r="J9" s="13">
        <v>0</v>
      </c>
      <c r="K9" s="14"/>
      <c r="L9" s="15">
        <f t="shared" si="0"/>
        <v>0</v>
      </c>
      <c r="M9" s="16">
        <f t="shared" si="1"/>
        <v>14</v>
      </c>
      <c r="N9" s="17">
        <f t="shared" si="2"/>
        <v>1</v>
      </c>
      <c r="O9" s="17">
        <f t="shared" si="3"/>
        <v>1</v>
      </c>
    </row>
    <row r="10" spans="1:15" x14ac:dyDescent="0.25">
      <c r="A10" s="7" t="s">
        <v>32</v>
      </c>
      <c r="B10" s="8" t="s">
        <v>33</v>
      </c>
      <c r="C10" s="9" t="s">
        <v>23</v>
      </c>
      <c r="D10" s="10" t="s">
        <v>24</v>
      </c>
      <c r="E10" s="11">
        <v>14</v>
      </c>
      <c r="F10" s="11">
        <v>0</v>
      </c>
      <c r="G10" s="12"/>
      <c r="H10" s="13">
        <v>14</v>
      </c>
      <c r="I10" s="13">
        <v>0</v>
      </c>
      <c r="J10" s="13">
        <v>0</v>
      </c>
      <c r="K10" s="14"/>
      <c r="L10" s="15">
        <f t="shared" si="0"/>
        <v>0</v>
      </c>
      <c r="M10" s="16">
        <f t="shared" si="1"/>
        <v>14</v>
      </c>
      <c r="N10" s="17">
        <f t="shared" si="2"/>
        <v>1</v>
      </c>
      <c r="O10" s="17">
        <f t="shared" si="3"/>
        <v>1</v>
      </c>
    </row>
    <row r="11" spans="1:15" x14ac:dyDescent="0.25">
      <c r="A11" s="7" t="s">
        <v>34</v>
      </c>
      <c r="B11" s="8" t="s">
        <v>35</v>
      </c>
      <c r="C11" s="9" t="s">
        <v>23</v>
      </c>
      <c r="D11" s="10" t="s">
        <v>24</v>
      </c>
      <c r="E11" s="11">
        <v>14</v>
      </c>
      <c r="F11" s="11">
        <v>0</v>
      </c>
      <c r="G11" s="12"/>
      <c r="H11" s="13">
        <v>14</v>
      </c>
      <c r="I11" s="13">
        <v>0</v>
      </c>
      <c r="J11" s="13">
        <v>0</v>
      </c>
      <c r="K11" s="14"/>
      <c r="L11" s="15">
        <f t="shared" si="0"/>
        <v>0</v>
      </c>
      <c r="M11" s="16">
        <f t="shared" si="1"/>
        <v>14</v>
      </c>
      <c r="N11" s="17">
        <f t="shared" si="2"/>
        <v>1</v>
      </c>
      <c r="O11" s="17">
        <f t="shared" si="3"/>
        <v>1</v>
      </c>
    </row>
    <row r="12" spans="1:15" x14ac:dyDescent="0.25">
      <c r="A12" s="7" t="s">
        <v>36</v>
      </c>
      <c r="B12" s="8" t="s">
        <v>37</v>
      </c>
      <c r="C12" s="9" t="s">
        <v>23</v>
      </c>
      <c r="D12" s="10" t="s">
        <v>24</v>
      </c>
      <c r="E12" s="11">
        <v>14</v>
      </c>
      <c r="F12" s="11">
        <v>0</v>
      </c>
      <c r="G12" s="12"/>
      <c r="H12" s="13">
        <v>14</v>
      </c>
      <c r="I12" s="13">
        <v>0</v>
      </c>
      <c r="J12" s="13">
        <v>0</v>
      </c>
      <c r="K12" s="14"/>
      <c r="L12" s="15">
        <f t="shared" si="0"/>
        <v>0</v>
      </c>
      <c r="M12" s="16">
        <f t="shared" si="1"/>
        <v>14</v>
      </c>
      <c r="N12" s="17">
        <f t="shared" si="2"/>
        <v>1</v>
      </c>
      <c r="O12" s="17">
        <f t="shared" si="3"/>
        <v>1</v>
      </c>
    </row>
    <row r="13" spans="1:15" x14ac:dyDescent="0.25">
      <c r="A13" s="7" t="s">
        <v>38</v>
      </c>
      <c r="B13" s="8" t="s">
        <v>39</v>
      </c>
      <c r="C13" s="9" t="s">
        <v>23</v>
      </c>
      <c r="D13" s="10" t="s">
        <v>24</v>
      </c>
      <c r="E13" s="11">
        <v>12</v>
      </c>
      <c r="F13" s="11">
        <v>0</v>
      </c>
      <c r="G13" s="12"/>
      <c r="H13" s="13">
        <v>12</v>
      </c>
      <c r="I13" s="13">
        <v>0</v>
      </c>
      <c r="J13" s="13">
        <v>0</v>
      </c>
      <c r="K13" s="14"/>
      <c r="L13" s="15">
        <f t="shared" si="0"/>
        <v>0</v>
      </c>
      <c r="M13" s="16">
        <f t="shared" si="1"/>
        <v>12</v>
      </c>
      <c r="N13" s="17">
        <f t="shared" si="2"/>
        <v>1</v>
      </c>
      <c r="O13" s="17">
        <f t="shared" si="3"/>
        <v>1</v>
      </c>
    </row>
    <row r="14" spans="1:15" x14ac:dyDescent="0.25">
      <c r="A14" s="7" t="s">
        <v>40</v>
      </c>
      <c r="B14" s="8" t="s">
        <v>41</v>
      </c>
      <c r="C14" s="9" t="s">
        <v>42</v>
      </c>
      <c r="D14" s="10" t="s">
        <v>24</v>
      </c>
      <c r="E14" s="11">
        <v>13</v>
      </c>
      <c r="F14" s="11">
        <v>0</v>
      </c>
      <c r="G14" s="12"/>
      <c r="H14" s="13">
        <v>12</v>
      </c>
      <c r="I14" s="13">
        <v>0</v>
      </c>
      <c r="J14" s="13">
        <v>1</v>
      </c>
      <c r="K14" s="14"/>
      <c r="L14" s="15">
        <f t="shared" si="0"/>
        <v>-1</v>
      </c>
      <c r="M14" s="16">
        <f t="shared" si="1"/>
        <v>12</v>
      </c>
      <c r="N14" s="17">
        <f t="shared" si="2"/>
        <v>1</v>
      </c>
      <c r="O14" s="17">
        <f t="shared" si="3"/>
        <v>0.92307692307692313</v>
      </c>
    </row>
    <row r="15" spans="1:15" x14ac:dyDescent="0.25">
      <c r="A15" s="7" t="s">
        <v>43</v>
      </c>
      <c r="B15" s="8" t="s">
        <v>44</v>
      </c>
      <c r="C15" s="9" t="s">
        <v>42</v>
      </c>
      <c r="D15" s="10" t="s">
        <v>24</v>
      </c>
      <c r="E15" s="11">
        <v>13</v>
      </c>
      <c r="F15" s="11">
        <v>0</v>
      </c>
      <c r="G15" s="12"/>
      <c r="H15" s="13">
        <v>13</v>
      </c>
      <c r="I15" s="13">
        <v>2</v>
      </c>
      <c r="J15" s="13">
        <v>2</v>
      </c>
      <c r="K15" s="14" t="s">
        <v>45</v>
      </c>
      <c r="L15" s="15">
        <f t="shared" si="0"/>
        <v>0</v>
      </c>
      <c r="M15" s="16">
        <f t="shared" si="1"/>
        <v>11</v>
      </c>
      <c r="N15" s="17">
        <f t="shared" si="2"/>
        <v>0.84615384615384615</v>
      </c>
      <c r="O15" s="17">
        <f t="shared" si="3"/>
        <v>0.84615384615384615</v>
      </c>
    </row>
    <row r="16" spans="1:15" x14ac:dyDescent="0.25">
      <c r="A16" s="7" t="s">
        <v>46</v>
      </c>
      <c r="B16" s="8" t="s">
        <v>47</v>
      </c>
      <c r="C16" s="9" t="s">
        <v>42</v>
      </c>
      <c r="D16" s="10" t="s">
        <v>24</v>
      </c>
      <c r="E16" s="11">
        <v>13</v>
      </c>
      <c r="F16" s="11">
        <v>0</v>
      </c>
      <c r="G16" s="12"/>
      <c r="H16" s="13">
        <v>14</v>
      </c>
      <c r="I16" s="13">
        <v>1</v>
      </c>
      <c r="J16" s="13">
        <v>0</v>
      </c>
      <c r="K16" s="14" t="s">
        <v>27</v>
      </c>
      <c r="L16" s="15">
        <f t="shared" si="0"/>
        <v>1</v>
      </c>
      <c r="M16" s="16">
        <f t="shared" si="1"/>
        <v>13</v>
      </c>
      <c r="N16" s="17">
        <f t="shared" si="2"/>
        <v>0.9285714285714286</v>
      </c>
      <c r="O16" s="17">
        <f t="shared" si="3"/>
        <v>1</v>
      </c>
    </row>
    <row r="17" spans="1:15" x14ac:dyDescent="0.25">
      <c r="A17" s="7" t="s">
        <v>48</v>
      </c>
      <c r="B17" s="8" t="s">
        <v>49</v>
      </c>
      <c r="C17" s="9" t="s">
        <v>42</v>
      </c>
      <c r="D17" s="10" t="s">
        <v>24</v>
      </c>
      <c r="E17" s="11">
        <v>12</v>
      </c>
      <c r="F17" s="11">
        <v>0</v>
      </c>
      <c r="G17" s="12"/>
      <c r="H17" s="13">
        <v>13</v>
      </c>
      <c r="I17" s="13">
        <v>1</v>
      </c>
      <c r="J17" s="13">
        <v>0</v>
      </c>
      <c r="K17" s="14" t="s">
        <v>50</v>
      </c>
      <c r="L17" s="15">
        <f t="shared" si="0"/>
        <v>1</v>
      </c>
      <c r="M17" s="16">
        <f t="shared" si="1"/>
        <v>12</v>
      </c>
      <c r="N17" s="17">
        <f t="shared" si="2"/>
        <v>0.92307692307692313</v>
      </c>
      <c r="O17" s="17">
        <f t="shared" si="3"/>
        <v>1</v>
      </c>
    </row>
    <row r="18" spans="1:15" x14ac:dyDescent="0.25">
      <c r="A18" s="7" t="s">
        <v>51</v>
      </c>
      <c r="B18" s="8" t="s">
        <v>52</v>
      </c>
      <c r="C18" s="9" t="s">
        <v>42</v>
      </c>
      <c r="D18" s="10" t="s">
        <v>24</v>
      </c>
      <c r="E18" s="11">
        <v>12</v>
      </c>
      <c r="F18" s="11">
        <v>0</v>
      </c>
      <c r="G18" s="12"/>
      <c r="H18" s="13">
        <v>13</v>
      </c>
      <c r="I18" s="13">
        <v>3</v>
      </c>
      <c r="J18" s="13">
        <v>2</v>
      </c>
      <c r="K18" s="14" t="s">
        <v>53</v>
      </c>
      <c r="L18" s="15">
        <f t="shared" si="0"/>
        <v>1</v>
      </c>
      <c r="M18" s="16">
        <f t="shared" si="1"/>
        <v>10</v>
      </c>
      <c r="N18" s="17">
        <f t="shared" si="2"/>
        <v>0.76923076923076927</v>
      </c>
      <c r="O18" s="17">
        <f t="shared" si="3"/>
        <v>0.83333333333333337</v>
      </c>
    </row>
    <row r="19" spans="1:15" x14ac:dyDescent="0.25">
      <c r="A19" s="7" t="s">
        <v>54</v>
      </c>
      <c r="B19" s="8" t="s">
        <v>55</v>
      </c>
      <c r="C19" s="9" t="s">
        <v>42</v>
      </c>
      <c r="D19" s="10" t="s">
        <v>24</v>
      </c>
      <c r="E19" s="11">
        <v>12</v>
      </c>
      <c r="F19" s="11">
        <v>0</v>
      </c>
      <c r="G19" s="12"/>
      <c r="H19" s="13">
        <v>22</v>
      </c>
      <c r="I19" s="13">
        <v>12</v>
      </c>
      <c r="J19" s="13">
        <v>2</v>
      </c>
      <c r="K19" s="14" t="s">
        <v>56</v>
      </c>
      <c r="L19" s="15">
        <f t="shared" si="0"/>
        <v>10</v>
      </c>
      <c r="M19" s="16">
        <f t="shared" si="1"/>
        <v>10</v>
      </c>
      <c r="N19" s="17">
        <f t="shared" si="2"/>
        <v>0.45454545454545453</v>
      </c>
      <c r="O19" s="17">
        <f t="shared" si="3"/>
        <v>0.83333333333333337</v>
      </c>
    </row>
    <row r="20" spans="1:15" x14ac:dyDescent="0.25">
      <c r="A20" s="7" t="s">
        <v>57</v>
      </c>
      <c r="B20" s="8" t="s">
        <v>58</v>
      </c>
      <c r="C20" s="9" t="s">
        <v>42</v>
      </c>
      <c r="D20" s="10" t="s">
        <v>24</v>
      </c>
      <c r="E20" s="11">
        <v>12</v>
      </c>
      <c r="F20" s="11">
        <v>0</v>
      </c>
      <c r="G20" s="12"/>
      <c r="H20" s="13">
        <v>12</v>
      </c>
      <c r="I20" s="13">
        <v>1</v>
      </c>
      <c r="J20" s="13">
        <v>1</v>
      </c>
      <c r="K20" s="14" t="s">
        <v>50</v>
      </c>
      <c r="L20" s="15">
        <f t="shared" si="0"/>
        <v>0</v>
      </c>
      <c r="M20" s="16">
        <f t="shared" si="1"/>
        <v>11</v>
      </c>
      <c r="N20" s="17">
        <f t="shared" si="2"/>
        <v>0.91666666666666663</v>
      </c>
      <c r="O20" s="17">
        <f t="shared" si="3"/>
        <v>0.91666666666666663</v>
      </c>
    </row>
    <row r="21" spans="1:15" x14ac:dyDescent="0.25">
      <c r="A21" s="7" t="s">
        <v>59</v>
      </c>
      <c r="B21" s="8" t="s">
        <v>60</v>
      </c>
      <c r="C21" s="9" t="s">
        <v>42</v>
      </c>
      <c r="D21" s="10" t="s">
        <v>24</v>
      </c>
      <c r="E21" s="11">
        <v>12</v>
      </c>
      <c r="F21" s="11">
        <v>0</v>
      </c>
      <c r="G21" s="12"/>
      <c r="H21" s="13">
        <v>14</v>
      </c>
      <c r="I21" s="13">
        <v>3</v>
      </c>
      <c r="J21" s="13">
        <v>1</v>
      </c>
      <c r="K21" s="14" t="s">
        <v>53</v>
      </c>
      <c r="L21" s="15">
        <f t="shared" si="0"/>
        <v>2</v>
      </c>
      <c r="M21" s="16">
        <f t="shared" si="1"/>
        <v>11</v>
      </c>
      <c r="N21" s="17">
        <f t="shared" si="2"/>
        <v>0.7857142857142857</v>
      </c>
      <c r="O21" s="17">
        <f t="shared" si="3"/>
        <v>0.91666666666666663</v>
      </c>
    </row>
    <row r="22" spans="1:15" x14ac:dyDescent="0.25">
      <c r="A22" s="7" t="s">
        <v>61</v>
      </c>
      <c r="B22" s="8" t="s">
        <v>62</v>
      </c>
      <c r="C22" s="9" t="s">
        <v>42</v>
      </c>
      <c r="D22" s="10" t="s">
        <v>24</v>
      </c>
      <c r="E22" s="11">
        <v>14</v>
      </c>
      <c r="F22" s="11">
        <v>0</v>
      </c>
      <c r="G22" s="12"/>
      <c r="H22" s="13">
        <v>15</v>
      </c>
      <c r="I22" s="13">
        <v>1</v>
      </c>
      <c r="J22" s="13">
        <v>0</v>
      </c>
      <c r="K22" s="14" t="s">
        <v>63</v>
      </c>
      <c r="L22" s="15">
        <f t="shared" si="0"/>
        <v>1</v>
      </c>
      <c r="M22" s="16">
        <f t="shared" si="1"/>
        <v>14</v>
      </c>
      <c r="N22" s="17">
        <f t="shared" si="2"/>
        <v>0.93333333333333335</v>
      </c>
      <c r="O22" s="17">
        <f t="shared" si="3"/>
        <v>1</v>
      </c>
    </row>
    <row r="23" spans="1:15" x14ac:dyDescent="0.25">
      <c r="A23" s="7" t="s">
        <v>64</v>
      </c>
      <c r="B23" s="8" t="s">
        <v>65</v>
      </c>
      <c r="C23" s="9" t="s">
        <v>42</v>
      </c>
      <c r="D23" s="10" t="s">
        <v>24</v>
      </c>
      <c r="E23" s="11">
        <v>14</v>
      </c>
      <c r="F23" s="11">
        <v>0</v>
      </c>
      <c r="G23" s="12"/>
      <c r="H23" s="13">
        <v>14</v>
      </c>
      <c r="I23" s="13">
        <v>2</v>
      </c>
      <c r="J23" s="13">
        <v>2</v>
      </c>
      <c r="K23" s="14" t="s">
        <v>66</v>
      </c>
      <c r="L23" s="15">
        <f t="shared" si="0"/>
        <v>0</v>
      </c>
      <c r="M23" s="16">
        <f t="shared" si="1"/>
        <v>12</v>
      </c>
      <c r="N23" s="17">
        <f t="shared" si="2"/>
        <v>0.8571428571428571</v>
      </c>
      <c r="O23" s="17">
        <f t="shared" si="3"/>
        <v>0.8571428571428571</v>
      </c>
    </row>
    <row r="24" spans="1:15" x14ac:dyDescent="0.25">
      <c r="A24" s="7" t="s">
        <v>67</v>
      </c>
      <c r="B24" s="8" t="s">
        <v>68</v>
      </c>
      <c r="C24" s="9" t="s">
        <v>69</v>
      </c>
      <c r="D24" s="10" t="s">
        <v>24</v>
      </c>
      <c r="E24" s="11">
        <v>14</v>
      </c>
      <c r="F24" s="11">
        <v>0</v>
      </c>
      <c r="G24" s="12"/>
      <c r="H24" s="13">
        <v>10</v>
      </c>
      <c r="I24" s="13">
        <v>0</v>
      </c>
      <c r="J24" s="13">
        <v>4</v>
      </c>
      <c r="K24" s="14"/>
      <c r="L24" s="15">
        <f t="shared" si="0"/>
        <v>-4</v>
      </c>
      <c r="M24" s="16">
        <f t="shared" si="1"/>
        <v>10</v>
      </c>
      <c r="N24" s="17">
        <f t="shared" si="2"/>
        <v>1</v>
      </c>
      <c r="O24" s="17">
        <f t="shared" si="3"/>
        <v>0.7142857142857143</v>
      </c>
    </row>
    <row r="25" spans="1:15" x14ac:dyDescent="0.25">
      <c r="A25" s="7" t="s">
        <v>70</v>
      </c>
      <c r="B25" s="8" t="s">
        <v>71</v>
      </c>
      <c r="C25" s="9" t="s">
        <v>69</v>
      </c>
      <c r="D25" s="10" t="s">
        <v>24</v>
      </c>
      <c r="E25" s="11">
        <v>14</v>
      </c>
      <c r="F25" s="11">
        <v>4</v>
      </c>
      <c r="G25" s="12"/>
      <c r="H25" s="13">
        <v>17</v>
      </c>
      <c r="I25" s="13">
        <v>3</v>
      </c>
      <c r="J25" s="13">
        <v>0</v>
      </c>
      <c r="K25" s="14" t="s">
        <v>72</v>
      </c>
      <c r="L25" s="15">
        <f t="shared" si="0"/>
        <v>3</v>
      </c>
      <c r="M25" s="16">
        <f t="shared" si="1"/>
        <v>14</v>
      </c>
      <c r="N25" s="17">
        <f t="shared" si="2"/>
        <v>0.82352941176470584</v>
      </c>
      <c r="O25" s="17">
        <f t="shared" si="3"/>
        <v>1</v>
      </c>
    </row>
    <row r="26" spans="1:15" x14ac:dyDescent="0.25">
      <c r="A26" s="7" t="s">
        <v>73</v>
      </c>
      <c r="B26" s="8" t="s">
        <v>74</v>
      </c>
      <c r="C26" s="9" t="s">
        <v>69</v>
      </c>
      <c r="D26" s="10" t="s">
        <v>24</v>
      </c>
      <c r="E26" s="11">
        <v>9</v>
      </c>
      <c r="F26" s="11">
        <v>4</v>
      </c>
      <c r="G26" s="12"/>
      <c r="H26" s="13">
        <v>9</v>
      </c>
      <c r="I26" s="13">
        <v>2</v>
      </c>
      <c r="J26" s="13">
        <v>2</v>
      </c>
      <c r="K26" s="14" t="s">
        <v>75</v>
      </c>
      <c r="L26" s="15">
        <f t="shared" si="0"/>
        <v>0</v>
      </c>
      <c r="M26" s="16">
        <f t="shared" si="1"/>
        <v>7</v>
      </c>
      <c r="N26" s="17">
        <f t="shared" si="2"/>
        <v>0.77777777777777779</v>
      </c>
      <c r="O26" s="17">
        <f t="shared" si="3"/>
        <v>0.77777777777777779</v>
      </c>
    </row>
    <row r="27" spans="1:15" x14ac:dyDescent="0.25">
      <c r="A27" s="7" t="s">
        <v>76</v>
      </c>
      <c r="B27" s="8" t="s">
        <v>77</v>
      </c>
      <c r="C27" s="9" t="s">
        <v>69</v>
      </c>
      <c r="D27" s="10" t="s">
        <v>24</v>
      </c>
      <c r="E27" s="11">
        <v>13</v>
      </c>
      <c r="F27" s="11">
        <v>4</v>
      </c>
      <c r="G27" s="12"/>
      <c r="H27" s="13">
        <v>9</v>
      </c>
      <c r="I27" s="13">
        <v>1</v>
      </c>
      <c r="J27" s="13">
        <v>5</v>
      </c>
      <c r="K27" s="14" t="s">
        <v>78</v>
      </c>
      <c r="L27" s="15">
        <f t="shared" si="0"/>
        <v>-4</v>
      </c>
      <c r="M27" s="16">
        <f t="shared" si="1"/>
        <v>8</v>
      </c>
      <c r="N27" s="17">
        <f t="shared" si="2"/>
        <v>0.88888888888888884</v>
      </c>
      <c r="O27" s="17">
        <f t="shared" si="3"/>
        <v>0.61538461538461542</v>
      </c>
    </row>
    <row r="28" spans="1:15" x14ac:dyDescent="0.25">
      <c r="A28" s="7" t="s">
        <v>79</v>
      </c>
      <c r="B28" s="8" t="s">
        <v>80</v>
      </c>
      <c r="C28" s="9" t="s">
        <v>69</v>
      </c>
      <c r="D28" s="10" t="s">
        <v>24</v>
      </c>
      <c r="E28" s="11">
        <v>14</v>
      </c>
      <c r="F28" s="11">
        <v>0</v>
      </c>
      <c r="G28" s="12"/>
      <c r="H28" s="13">
        <v>12</v>
      </c>
      <c r="I28" s="13">
        <v>1</v>
      </c>
      <c r="J28" s="13">
        <v>3</v>
      </c>
      <c r="K28" s="14" t="s">
        <v>81</v>
      </c>
      <c r="L28" s="15">
        <f t="shared" si="0"/>
        <v>-2</v>
      </c>
      <c r="M28" s="16">
        <f t="shared" si="1"/>
        <v>11</v>
      </c>
      <c r="N28" s="17">
        <f t="shared" si="2"/>
        <v>0.91666666666666663</v>
      </c>
      <c r="O28" s="17">
        <f t="shared" si="3"/>
        <v>0.7857142857142857</v>
      </c>
    </row>
    <row r="29" spans="1:15" x14ac:dyDescent="0.25">
      <c r="A29" s="7" t="s">
        <v>82</v>
      </c>
      <c r="B29" s="8" t="s">
        <v>83</v>
      </c>
      <c r="C29" s="9" t="s">
        <v>69</v>
      </c>
      <c r="D29" s="10" t="s">
        <v>24</v>
      </c>
      <c r="E29" s="11">
        <v>14</v>
      </c>
      <c r="F29" s="11">
        <v>0</v>
      </c>
      <c r="G29" s="12"/>
      <c r="H29" s="13">
        <v>14</v>
      </c>
      <c r="I29" s="13">
        <v>3</v>
      </c>
      <c r="J29" s="13">
        <v>3</v>
      </c>
      <c r="K29" s="14" t="s">
        <v>84</v>
      </c>
      <c r="L29" s="15">
        <f t="shared" si="0"/>
        <v>0</v>
      </c>
      <c r="M29" s="16">
        <f t="shared" si="1"/>
        <v>11</v>
      </c>
      <c r="N29" s="17">
        <f t="shared" si="2"/>
        <v>0.7857142857142857</v>
      </c>
      <c r="O29" s="17">
        <f t="shared" si="3"/>
        <v>0.7857142857142857</v>
      </c>
    </row>
    <row r="30" spans="1:15" x14ac:dyDescent="0.25">
      <c r="A30" s="7" t="s">
        <v>85</v>
      </c>
      <c r="B30" s="8" t="s">
        <v>86</v>
      </c>
      <c r="C30" s="9" t="s">
        <v>69</v>
      </c>
      <c r="D30" s="10" t="s">
        <v>24</v>
      </c>
      <c r="E30" s="11">
        <v>14</v>
      </c>
      <c r="F30" s="11">
        <v>0</v>
      </c>
      <c r="G30" s="12"/>
      <c r="H30" s="13">
        <v>13</v>
      </c>
      <c r="I30" s="13">
        <v>2</v>
      </c>
      <c r="J30" s="13">
        <v>3</v>
      </c>
      <c r="K30" s="14" t="s">
        <v>87</v>
      </c>
      <c r="L30" s="15">
        <f t="shared" si="0"/>
        <v>-1</v>
      </c>
      <c r="M30" s="16">
        <f t="shared" si="1"/>
        <v>11</v>
      </c>
      <c r="N30" s="17">
        <f t="shared" si="2"/>
        <v>0.84615384615384615</v>
      </c>
      <c r="O30" s="17">
        <f t="shared" si="3"/>
        <v>0.7857142857142857</v>
      </c>
    </row>
    <row r="31" spans="1:15" x14ac:dyDescent="0.25">
      <c r="A31" s="7" t="s">
        <v>88</v>
      </c>
      <c r="B31" s="8" t="s">
        <v>89</v>
      </c>
      <c r="C31" s="9" t="s">
        <v>69</v>
      </c>
      <c r="D31" s="10" t="s">
        <v>24</v>
      </c>
      <c r="E31" s="11">
        <v>11</v>
      </c>
      <c r="F31" s="11">
        <v>0</v>
      </c>
      <c r="G31" s="12"/>
      <c r="H31" s="13">
        <v>8</v>
      </c>
      <c r="I31" s="13">
        <v>0</v>
      </c>
      <c r="J31" s="13">
        <v>3</v>
      </c>
      <c r="K31" s="14"/>
      <c r="L31" s="15">
        <f t="shared" si="0"/>
        <v>-3</v>
      </c>
      <c r="M31" s="16">
        <f t="shared" si="1"/>
        <v>8</v>
      </c>
      <c r="N31" s="17">
        <f t="shared" si="2"/>
        <v>1</v>
      </c>
      <c r="O31" s="17">
        <f t="shared" si="3"/>
        <v>0.72727272727272729</v>
      </c>
    </row>
    <row r="32" spans="1:15" x14ac:dyDescent="0.25">
      <c r="A32" s="18" t="s">
        <v>90</v>
      </c>
      <c r="B32" s="18"/>
      <c r="C32" s="18"/>
      <c r="D32" s="18"/>
      <c r="E32" s="18">
        <f>IF(COUNT(E6:E31)=0,"",SUM(E6:E31))</f>
        <v>328</v>
      </c>
      <c r="F32" s="18">
        <f>IF(COUNT(F6:F31)=0,"",SUM(F6:F31))</f>
        <v>12</v>
      </c>
      <c r="G32" s="18"/>
      <c r="H32" s="18">
        <f>IF(COUNT(H6:H31)=0,"",SUM(H6:H31))</f>
        <v>333</v>
      </c>
      <c r="I32" s="18">
        <f>IF(COUNT(I6:I31)=0,"",SUM(I6:I31))</f>
        <v>39</v>
      </c>
      <c r="J32" s="18">
        <f>IF(COUNT(J6:J31)=0,"",SUM(J6:J31))</f>
        <v>34</v>
      </c>
      <c r="K32" s="18"/>
      <c r="L32" s="19">
        <f t="shared" si="0"/>
        <v>5</v>
      </c>
      <c r="M32" s="18">
        <f>IF(COUNT(M6:M31)=0,"",SUM(M6:M31))</f>
        <v>294</v>
      </c>
      <c r="N32" s="20">
        <f t="shared" si="2"/>
        <v>0.88288288288288286</v>
      </c>
      <c r="O32" s="20">
        <f t="shared" si="3"/>
        <v>0.89634146341463417</v>
      </c>
    </row>
  </sheetData>
  <mergeCells count="4">
    <mergeCell ref="L4:O4"/>
    <mergeCell ref="A4:D4"/>
    <mergeCell ref="E4:G4"/>
    <mergeCell ref="H4:K4"/>
  </mergeCells>
  <hyperlinks>
    <hyperlink ref="B6" r:id="rId1" xr:uid="{00000000-0004-0000-0000-000000000000}"/>
    <hyperlink ref="D6" r:id="rId2" xr:uid="{00000000-0004-0000-0000-000001000000}"/>
    <hyperlink ref="B7" r:id="rId3" xr:uid="{00000000-0004-0000-0000-000002000000}"/>
    <hyperlink ref="D7" r:id="rId4" xr:uid="{00000000-0004-0000-0000-000003000000}"/>
    <hyperlink ref="B8" r:id="rId5" xr:uid="{00000000-0004-0000-0000-000004000000}"/>
    <hyperlink ref="D8" r:id="rId6" xr:uid="{00000000-0004-0000-0000-000005000000}"/>
    <hyperlink ref="B9" r:id="rId7" xr:uid="{00000000-0004-0000-0000-000006000000}"/>
    <hyperlink ref="D9" r:id="rId8" xr:uid="{00000000-0004-0000-0000-000007000000}"/>
    <hyperlink ref="B10" r:id="rId9" xr:uid="{00000000-0004-0000-0000-000008000000}"/>
    <hyperlink ref="D10" r:id="rId10" xr:uid="{00000000-0004-0000-0000-000009000000}"/>
    <hyperlink ref="B11" r:id="rId11" xr:uid="{00000000-0004-0000-0000-00000A000000}"/>
    <hyperlink ref="D11" r:id="rId12" xr:uid="{00000000-0004-0000-0000-00000B000000}"/>
    <hyperlink ref="B12" r:id="rId13" xr:uid="{00000000-0004-0000-0000-00000C000000}"/>
    <hyperlink ref="D12" r:id="rId14" xr:uid="{00000000-0004-0000-0000-00000D000000}"/>
    <hyperlink ref="B13" r:id="rId15" xr:uid="{00000000-0004-0000-0000-00000E000000}"/>
    <hyperlink ref="D13" r:id="rId16" xr:uid="{00000000-0004-0000-0000-00000F000000}"/>
    <hyperlink ref="B14" r:id="rId17" xr:uid="{00000000-0004-0000-0000-000010000000}"/>
    <hyperlink ref="D14" r:id="rId18" xr:uid="{00000000-0004-0000-0000-000011000000}"/>
    <hyperlink ref="B15" r:id="rId19" xr:uid="{00000000-0004-0000-0000-000012000000}"/>
    <hyperlink ref="D15" r:id="rId20" xr:uid="{00000000-0004-0000-0000-000013000000}"/>
    <hyperlink ref="B16" r:id="rId21" xr:uid="{00000000-0004-0000-0000-000014000000}"/>
    <hyperlink ref="D16" r:id="rId22" xr:uid="{00000000-0004-0000-0000-000015000000}"/>
    <hyperlink ref="B17" r:id="rId23" xr:uid="{00000000-0004-0000-0000-000016000000}"/>
    <hyperlink ref="D17" r:id="rId24" xr:uid="{00000000-0004-0000-0000-000017000000}"/>
    <hyperlink ref="B18" r:id="rId25" xr:uid="{00000000-0004-0000-0000-000018000000}"/>
    <hyperlink ref="D18" r:id="rId26" xr:uid="{00000000-0004-0000-0000-000019000000}"/>
    <hyperlink ref="B19" r:id="rId27" xr:uid="{00000000-0004-0000-0000-00001A000000}"/>
    <hyperlink ref="D19" r:id="rId28" xr:uid="{00000000-0004-0000-0000-00001B000000}"/>
    <hyperlink ref="B20" r:id="rId29" xr:uid="{00000000-0004-0000-0000-00001C000000}"/>
    <hyperlink ref="D20" r:id="rId30" xr:uid="{00000000-0004-0000-0000-00001D000000}"/>
    <hyperlink ref="B21" r:id="rId31" xr:uid="{00000000-0004-0000-0000-00001E000000}"/>
    <hyperlink ref="D21" r:id="rId32" xr:uid="{00000000-0004-0000-0000-00001F000000}"/>
    <hyperlink ref="B22" r:id="rId33" xr:uid="{00000000-0004-0000-0000-000020000000}"/>
    <hyperlink ref="D22" r:id="rId34" xr:uid="{00000000-0004-0000-0000-000021000000}"/>
    <hyperlink ref="B23" r:id="rId35" xr:uid="{00000000-0004-0000-0000-000022000000}"/>
    <hyperlink ref="D23" r:id="rId36" xr:uid="{00000000-0004-0000-0000-000023000000}"/>
    <hyperlink ref="B24" r:id="rId37" xr:uid="{00000000-0004-0000-0000-000024000000}"/>
    <hyperlink ref="D24" r:id="rId38" xr:uid="{00000000-0004-0000-0000-000025000000}"/>
    <hyperlink ref="B25" r:id="rId39" xr:uid="{00000000-0004-0000-0000-000026000000}"/>
    <hyperlink ref="D25" r:id="rId40" xr:uid="{00000000-0004-0000-0000-000027000000}"/>
    <hyperlink ref="B26" r:id="rId41" xr:uid="{00000000-0004-0000-0000-000028000000}"/>
    <hyperlink ref="D26" r:id="rId42" xr:uid="{00000000-0004-0000-0000-000029000000}"/>
    <hyperlink ref="B27" r:id="rId43" xr:uid="{00000000-0004-0000-0000-00002A000000}"/>
    <hyperlink ref="D27" r:id="rId44" xr:uid="{00000000-0004-0000-0000-00002B000000}"/>
    <hyperlink ref="B28" r:id="rId45" xr:uid="{00000000-0004-0000-0000-00002C000000}"/>
    <hyperlink ref="D28" r:id="rId46" xr:uid="{00000000-0004-0000-0000-00002D000000}"/>
    <hyperlink ref="B29" r:id="rId47" xr:uid="{00000000-0004-0000-0000-00002E000000}"/>
    <hyperlink ref="D29" r:id="rId48" xr:uid="{00000000-0004-0000-0000-00002F000000}"/>
    <hyperlink ref="B30" r:id="rId49" xr:uid="{00000000-0004-0000-0000-000030000000}"/>
    <hyperlink ref="D30" r:id="rId50" xr:uid="{00000000-0004-0000-0000-000031000000}"/>
    <hyperlink ref="B31" r:id="rId51" xr:uid="{00000000-0004-0000-0000-000032000000}"/>
    <hyperlink ref="D31" r:id="rId52" xr:uid="{00000000-0004-0000-0000-000033000000}"/>
  </hyperlinks>
  <pageMargins left="0.75" right="0.75" top="1" bottom="1" header="0.5" footer="0.5"/>
  <legacyDrawing r:id="rId5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rightToLeft="1" workbookViewId="0"/>
  </sheetViews>
  <sheetFormatPr defaultRowHeight="13.8" x14ac:dyDescent="0.25"/>
  <cols>
    <col min="1" max="10" width="15" customWidth="1"/>
  </cols>
  <sheetData>
    <row r="1" spans="1:10" ht="17.399999999999999" customHeight="1" x14ac:dyDescent="0.3">
      <c r="A1" s="1" t="s">
        <v>91</v>
      </c>
    </row>
    <row r="3" spans="1:10" ht="34.049999999999997" customHeight="1" x14ac:dyDescent="0.25">
      <c r="A3" s="21" t="s">
        <v>8</v>
      </c>
      <c r="B3" s="21" t="s">
        <v>92</v>
      </c>
      <c r="C3" s="21" t="s">
        <v>93</v>
      </c>
      <c r="D3" s="21" t="s">
        <v>94</v>
      </c>
      <c r="E3" s="21" t="s">
        <v>18</v>
      </c>
      <c r="F3" s="21" t="s">
        <v>95</v>
      </c>
      <c r="G3" s="21" t="s">
        <v>96</v>
      </c>
      <c r="H3" s="21" t="s">
        <v>19</v>
      </c>
      <c r="I3" s="21" t="s">
        <v>20</v>
      </c>
      <c r="J3" s="21" t="s">
        <v>97</v>
      </c>
    </row>
    <row r="4" spans="1:10" x14ac:dyDescent="0.25">
      <c r="A4" s="22" t="s">
        <v>23</v>
      </c>
      <c r="B4" s="22">
        <f>COUNTIFS(Photos!$C$6:$C$31,$A4)</f>
        <v>8</v>
      </c>
      <c r="C4" s="22">
        <f>SUMIFS(Photos!$E$6:$E$31,Photos!$C$6:$C$31,$A4)</f>
        <v>98</v>
      </c>
      <c r="D4" s="22">
        <f>SUMIFS(Photos!$H$6:$H$31,Photos!$C$6:$C$31,$A4)</f>
        <v>99</v>
      </c>
      <c r="E4" s="22">
        <f>SUMIFS(Photos!$M$6:$M$31,Photos!$C$6:$C$31,$A4)</f>
        <v>98</v>
      </c>
      <c r="F4" s="22">
        <f>SUMIFS(Photos!$I$6:$I$31,Photos!$C$6:$C$31,$A4)</f>
        <v>1</v>
      </c>
      <c r="G4" s="22">
        <f>SUMIFS(Photos!$J$6:$J$31,Photos!$C$6:$C$31,$A4)</f>
        <v>0</v>
      </c>
      <c r="H4" s="23">
        <f>IF(D4=0,"",E4/D4)</f>
        <v>0.98989898989898994</v>
      </c>
      <c r="I4" s="23">
        <f>IF(C4=0,"",E4/C4)</f>
        <v>1</v>
      </c>
      <c r="J4" s="22">
        <f>COUNTIFS(Photos!$C$6:$C$31,$A4,Photos!$L$6:$L$31,0)</f>
        <v>7</v>
      </c>
    </row>
    <row r="5" spans="1:10" x14ac:dyDescent="0.25">
      <c r="A5" s="22" t="s">
        <v>42</v>
      </c>
      <c r="B5" s="22">
        <f>COUNTIFS(Photos!$C$6:$C$31,$A5)</f>
        <v>10</v>
      </c>
      <c r="C5" s="22">
        <f>SUMIFS(Photos!$E$6:$E$31,Photos!$C$6:$C$31,$A5)</f>
        <v>127</v>
      </c>
      <c r="D5" s="22">
        <f>SUMIFS(Photos!$H$6:$H$31,Photos!$C$6:$C$31,$A5)</f>
        <v>142</v>
      </c>
      <c r="E5" s="22">
        <f>SUMIFS(Photos!$M$6:$M$31,Photos!$C$6:$C$31,$A5)</f>
        <v>116</v>
      </c>
      <c r="F5" s="22">
        <f>SUMIFS(Photos!$I$6:$I$31,Photos!$C$6:$C$31,$A5)</f>
        <v>26</v>
      </c>
      <c r="G5" s="22">
        <f>SUMIFS(Photos!$J$6:$J$31,Photos!$C$6:$C$31,$A5)</f>
        <v>11</v>
      </c>
      <c r="H5" s="23">
        <f>IF(D5=0,"",E5/D5)</f>
        <v>0.81690140845070425</v>
      </c>
      <c r="I5" s="23">
        <f>IF(C5=0,"",E5/C5)</f>
        <v>0.91338582677165359</v>
      </c>
      <c r="J5" s="22">
        <f>COUNTIFS(Photos!$C$6:$C$31,$A5,Photos!$L$6:$L$31,0)</f>
        <v>3</v>
      </c>
    </row>
    <row r="6" spans="1:10" x14ac:dyDescent="0.25">
      <c r="A6" s="22" t="s">
        <v>69</v>
      </c>
      <c r="B6" s="22">
        <f>COUNTIFS(Photos!$C$6:$C$31,$A6)</f>
        <v>8</v>
      </c>
      <c r="C6" s="22">
        <f>SUMIFS(Photos!$E$6:$E$31,Photos!$C$6:$C$31,$A6)</f>
        <v>103</v>
      </c>
      <c r="D6" s="22">
        <f>SUMIFS(Photos!$H$6:$H$31,Photos!$C$6:$C$31,$A6)</f>
        <v>92</v>
      </c>
      <c r="E6" s="22">
        <f>SUMIFS(Photos!$M$6:$M$31,Photos!$C$6:$C$31,$A6)</f>
        <v>80</v>
      </c>
      <c r="F6" s="22">
        <f>SUMIFS(Photos!$I$6:$I$31,Photos!$C$6:$C$31,$A6)</f>
        <v>12</v>
      </c>
      <c r="G6" s="22">
        <f>SUMIFS(Photos!$J$6:$J$31,Photos!$C$6:$C$31,$A6)</f>
        <v>23</v>
      </c>
      <c r="H6" s="23">
        <f>IF(D6=0,"",E6/D6)</f>
        <v>0.86956521739130432</v>
      </c>
      <c r="I6" s="23">
        <f>IF(C6=0,"",E6/C6)</f>
        <v>0.77669902912621358</v>
      </c>
      <c r="J6" s="22">
        <f>COUNTIFS(Photos!$C$6:$C$31,$A6,Photos!$L$6:$L$31,0)</f>
        <v>2</v>
      </c>
    </row>
    <row r="7" spans="1:10" x14ac:dyDescent="0.25">
      <c r="A7" s="24" t="s">
        <v>98</v>
      </c>
      <c r="B7" s="24">
        <f>COUNTIFS(Photos!$C$6:$C$31,"*")</f>
        <v>26</v>
      </c>
      <c r="C7" s="24">
        <f>SUMIFS(Photos!$E$6:$E$31,Photos!$C$6:$C$31,"*")</f>
        <v>328</v>
      </c>
      <c r="D7" s="24">
        <f>SUMIFS(Photos!$H$6:$H$31,Photos!$C$6:$C$31,"*")</f>
        <v>333</v>
      </c>
      <c r="E7" s="24">
        <f>SUMIFS(Photos!$M$6:$M$31,Photos!$C$6:$C$31,"*")</f>
        <v>294</v>
      </c>
      <c r="F7" s="24">
        <f>SUMIFS(Photos!$I$6:$I$31,Photos!$C$6:$C$31,"*")</f>
        <v>39</v>
      </c>
      <c r="G7" s="24">
        <f>SUMIFS(Photos!$J$6:$J$31,Photos!$C$6:$C$31,"*")</f>
        <v>34</v>
      </c>
      <c r="H7" s="25">
        <f>IF(D7=0,"",E7/D7)</f>
        <v>0.88288288288288286</v>
      </c>
      <c r="I7" s="25">
        <f>IF(C7=0,"",E7/C7)</f>
        <v>0.89634146341463417</v>
      </c>
      <c r="J7" s="24">
        <f>COUNTIFS(Photos!$C$6:$C$31,"*",Photos!$L$6:$L$31,0)</f>
        <v>12</v>
      </c>
    </row>
    <row r="10" spans="1:10" x14ac:dyDescent="0.25">
      <c r="A10" s="2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rightToLeft="1" workbookViewId="0"/>
  </sheetViews>
  <sheetFormatPr defaultRowHeight="13.8" x14ac:dyDescent="0.25"/>
  <cols>
    <col min="1" max="10" width="16" customWidth="1"/>
  </cols>
  <sheetData>
    <row r="1" spans="1:10" x14ac:dyDescent="0.25">
      <c r="A1" s="26" t="s">
        <v>100</v>
      </c>
    </row>
    <row r="2" spans="1:10" x14ac:dyDescent="0.25">
      <c r="A2" s="27" t="s">
        <v>101</v>
      </c>
    </row>
    <row r="3" spans="1:10" x14ac:dyDescent="0.25">
      <c r="A3" s="27" t="s">
        <v>102</v>
      </c>
    </row>
    <row r="4" spans="1:10" x14ac:dyDescent="0.25">
      <c r="A4" s="27" t="s">
        <v>103</v>
      </c>
    </row>
    <row r="5" spans="1:10" x14ac:dyDescent="0.25">
      <c r="A5" s="27" t="s">
        <v>104</v>
      </c>
    </row>
    <row r="6" spans="1:10" x14ac:dyDescent="0.25">
      <c r="A6" s="27"/>
    </row>
    <row r="7" spans="1:10" x14ac:dyDescent="0.25">
      <c r="A7" s="26" t="s">
        <v>105</v>
      </c>
    </row>
    <row r="8" spans="1:10" x14ac:dyDescent="0.25">
      <c r="A8" s="3" t="s">
        <v>6</v>
      </c>
      <c r="B8" s="3" t="s">
        <v>93</v>
      </c>
      <c r="C8" s="3" t="s">
        <v>106</v>
      </c>
      <c r="D8" s="3" t="s">
        <v>12</v>
      </c>
      <c r="E8" s="3" t="s">
        <v>94</v>
      </c>
      <c r="F8" s="3" t="s">
        <v>107</v>
      </c>
      <c r="G8" s="3" t="s">
        <v>108</v>
      </c>
      <c r="H8" s="3" t="s">
        <v>109</v>
      </c>
      <c r="I8" s="3" t="s">
        <v>110</v>
      </c>
      <c r="J8" s="3" t="s">
        <v>111</v>
      </c>
    </row>
    <row r="9" spans="1:10" ht="26.4" customHeight="1" x14ac:dyDescent="0.25">
      <c r="A9" s="28" t="s">
        <v>70</v>
      </c>
      <c r="B9" s="28">
        <v>14</v>
      </c>
      <c r="C9" s="28">
        <v>4</v>
      </c>
      <c r="D9" s="28" t="s">
        <v>112</v>
      </c>
      <c r="E9" s="28">
        <v>17</v>
      </c>
      <c r="F9" s="28">
        <v>4</v>
      </c>
      <c r="G9" s="28">
        <v>1</v>
      </c>
      <c r="H9" s="28" t="s">
        <v>113</v>
      </c>
      <c r="I9" s="28">
        <f>E9-B9</f>
        <v>3</v>
      </c>
      <c r="J9" s="28">
        <f>E9-F9</f>
        <v>13</v>
      </c>
    </row>
    <row r="11" spans="1:10" x14ac:dyDescent="0.25">
      <c r="A11" s="2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Photos</vt:lpstr>
      <vt:lpstr>Summary</vt:lpstr>
      <vt:lpstr>How to fill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Yulia Rapana</cp:lastModifiedBy>
  <dcterms:created xsi:type="dcterms:W3CDTF">2026-09-29T09:08:47Z</dcterms:created>
  <dcterms:modified xsi:type="dcterms:W3CDTF">2026-09-29T10:16:49Z</dcterms:modified>
</cp:coreProperties>
</file>